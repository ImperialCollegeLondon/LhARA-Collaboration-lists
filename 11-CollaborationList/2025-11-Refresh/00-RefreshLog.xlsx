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i.box.com/wopi/files/2050105903112/WOPIServiceId_TP_BOX_2/WOPIUserId_-/"/>
    </mc:Choice>
  </mc:AlternateContent>
  <xr:revisionPtr revIDLastSave="7" documentId="13_ncr:1_{046D63E1-063A-8D40-99B7-7ED47EA959D5}" xr6:coauthVersionLast="47" xr6:coauthVersionMax="47" xr10:uidLastSave="{145C7EBE-3EDF-5046-804F-6D29FD54FC44}"/>
  <bookViews>
    <workbookView xWindow="0" yWindow="760" windowWidth="30240" windowHeight="18880" xr2:uid="{9AD4C775-BB02-1F4A-9451-959360E31C15}"/>
  </bookViews>
  <sheets>
    <sheet name="liss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6" i="1" l="1"/>
  <c r="H86" i="1"/>
  <c r="I86" i="1" l="1"/>
</calcChain>
</file>

<file path=xl/sharedStrings.xml><?xml version="1.0" encoding="utf-8"?>
<sst xmlns="http://schemas.openxmlformats.org/spreadsheetml/2006/main" count="108" uniqueCount="85">
  <si>
    <t>ASU.xlsx</t>
  </si>
  <si>
    <t>Belfast.xlsx</t>
  </si>
  <si>
    <t>Birmingham.xlsx</t>
  </si>
  <si>
    <t>CERN.xlsx</t>
  </si>
  <si>
    <t>CNRS-Institut-Curie.xlsx</t>
  </si>
  <si>
    <t>Corerain.xlsx</t>
  </si>
  <si>
    <t>DOE-LBNL.xlsx</t>
  </si>
  <si>
    <t>Imperial.xlsx</t>
  </si>
  <si>
    <t>INFN-CT.xlsx</t>
  </si>
  <si>
    <t>InstituteCancerResearch.xlsx</t>
  </si>
  <si>
    <t>Lancaster.xlsx</t>
  </si>
  <si>
    <t>LeoCancerCare.xlsx</t>
  </si>
  <si>
    <t>Liverpool.xlsx</t>
  </si>
  <si>
    <t>Manchester.xlsx</t>
  </si>
  <si>
    <t>Maxeler.xlsx</t>
  </si>
  <si>
    <t>Oxford.xlsx</t>
  </si>
  <si>
    <t>QueenMary.xlsx</t>
  </si>
  <si>
    <t>RHUL.xlsx</t>
  </si>
  <si>
    <t>RosalindFranklinInstitut.xlsx</t>
  </si>
  <si>
    <t>SantiagoDeCompstella.xlsx</t>
  </si>
  <si>
    <t>STFC.xlsx</t>
  </si>
  <si>
    <t>Strathclyde.xlsx</t>
  </si>
  <si>
    <t>Surrey.xlsx</t>
  </si>
  <si>
    <t>Swansea.xlsx</t>
  </si>
  <si>
    <t>UCL.xlsx</t>
  </si>
  <si>
    <t>UCSF.xlsx</t>
  </si>
  <si>
    <t>ZZ0-removeFROMjiscmail.xlsx</t>
  </si>
  <si>
    <t>ZZ1-askIFwantTOjoin.xlsx</t>
  </si>
  <si>
    <t>ZZ2-consider.xlsx</t>
  </si>
  <si>
    <t>Institute</t>
  </si>
  <si>
    <t>Spreadsheet</t>
  </si>
  <si>
    <t>Arizona State University</t>
  </si>
  <si>
    <t>Email date</t>
  </si>
  <si>
    <t>Email content</t>
  </si>
  <si>
    <t>Email response</t>
  </si>
  <si>
    <t>Member list complete?</t>
  </si>
  <si>
    <t>Request refresh (Initial list)</t>
  </si>
  <si>
    <t>Email response date</t>
  </si>
  <si>
    <t>Request: at present no CERN members!</t>
  </si>
  <si>
    <t>Queens University</t>
  </si>
  <si>
    <t>Birmingham University</t>
  </si>
  <si>
    <t>CERN</t>
  </si>
  <si>
    <t>Institüt Curie</t>
  </si>
  <si>
    <t>Universidad de Santiago de Compostella</t>
  </si>
  <si>
    <t>Corerain</t>
  </si>
  <si>
    <t>LBNL</t>
  </si>
  <si>
    <t>Imperial</t>
  </si>
  <si>
    <t>Consider Ugo Amaldi</t>
  </si>
  <si>
    <t>Update to R.Amos info (in UCL_RAA.xlsx).</t>
  </si>
  <si>
    <t>University College London</t>
  </si>
  <si>
    <t>Royal Holloway University of London</t>
  </si>
  <si>
    <t>Will returned final list.</t>
  </si>
  <si>
    <t>Charlotte P responded "OK".</t>
  </si>
  <si>
    <t>Leo</t>
  </si>
  <si>
    <t>Tracy, Sophie: Tracy's initial and second affiliation.</t>
  </si>
  <si>
    <t>Sent update to ask if OK</t>
  </si>
  <si>
    <t>Queen Mary University of London</t>
  </si>
  <si>
    <t>Peter says OK</t>
  </si>
  <si>
    <t>GS has moved to NPL, so remove surrey record and replace with NPL record.</t>
  </si>
  <si>
    <t>Shinji asks for David Kelliher to be added</t>
  </si>
  <si>
    <t>STFC laboratories</t>
  </si>
  <si>
    <t>Liverpool</t>
  </si>
  <si>
    <t>Catania</t>
  </si>
  <si>
    <t>ICR</t>
  </si>
  <si>
    <t>Lancaster</t>
  </si>
  <si>
    <t>Manchester</t>
  </si>
  <si>
    <t>Maxeler</t>
  </si>
  <si>
    <t>Oxford</t>
  </si>
  <si>
    <t>RFI</t>
  </si>
  <si>
    <t>Strathclyde</t>
  </si>
  <si>
    <t>Surrey</t>
  </si>
  <si>
    <t>Swansea</t>
  </si>
  <si>
    <t>UCSF</t>
  </si>
  <si>
    <t>Cntr</t>
  </si>
  <si>
    <t>Update from Thongchai, so, done.</t>
  </si>
  <si>
    <t>OK from Phil, querie about Amato</t>
  </si>
  <si>
    <t>OK from Manjit.</t>
  </si>
  <si>
    <t>Thomason, cuts ISIS list.</t>
  </si>
  <si>
    <t>Hywel completes DL list</t>
  </si>
  <si>
    <t>Stew: remove Karen, perhaps add Mike Taylor</t>
  </si>
  <si>
    <t>Mehdi Tarisien</t>
  </si>
  <si>
    <t>Bordeaux</t>
  </si>
  <si>
    <t>Ulrich Schramm</t>
  </si>
  <si>
    <t>Jorg and Katia</t>
  </si>
  <si>
    <t>P.McKenna sent new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</si>
</sst>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5" fontId="0" fillId="0" borderId="0" xfId="0" applyNumberFormat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15" fontId="0" fillId="0" borderId="0" xfId="0" applyNumberFormat="1" applyAlignment="1">
      <alignment vertical="center"/>
    </xf>
    <xf numFmtId="9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76B90B-1F1C-C048-9567-529E0CFCD19F}" name="Table1" displayName="Table1" ref="A1:H84" totalsRowShown="0">
  <autoFilter ref="A1:H84" xr:uid="{7E76B90B-1F1C-C048-9567-529E0CFCD19F}"/>
  <tableColumns count="8">
    <tableColumn id="1" xr3:uid="{1B122CB6-63D6-7345-875C-B51685430DD3}" name="Institute"/>
    <tableColumn id="2" xr3:uid="{848FCA04-184B-824E-859C-4BA3DD5B6678}" name="Spreadsheet"/>
    <tableColumn id="3" xr3:uid="{9B97A4D0-C66E-1944-A356-B710779FDE07}" name="Email date"/>
    <tableColumn id="4" xr3:uid="{4BC43FFD-8C28-1846-A8BD-D92168960FB4}" name="Email content"/>
    <tableColumn id="7" xr3:uid="{E3F66F95-C937-7346-8BB3-959B3DCA4CB1}" name="Email response date"/>
    <tableColumn id="5" xr3:uid="{1531ACC4-849A-D648-B9BB-7E99202F2491}" name="Email response" dataDxfId="0"/>
    <tableColumn id="6" xr3:uid="{6CE33197-89AE-8F45-9338-455B2BD8A0F9}" name="Member list complete?"/>
    <tableColumn id="8" xr3:uid="{6B50C700-F859-8341-A30C-AE46AEBD1A0F}" name="Cnt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84185-4893-984F-81CD-365C50C740D1}">
  <dimension ref="A1:I86"/>
  <sheetViews>
    <sheetView tabSelected="1" workbookViewId="0">
      <selection activeCell="A52" sqref="A52:XFD53"/>
    </sheetView>
  </sheetViews>
  <sheetFormatPr baseColWidth="10" defaultRowHeight="16" outlineLevelRow="1" x14ac:dyDescent="0.2"/>
  <cols>
    <col min="1" max="1" width="34" bestFit="1" customWidth="1"/>
    <col min="2" max="2" width="26" bestFit="1" customWidth="1"/>
    <col min="3" max="3" width="14" bestFit="1" customWidth="1"/>
    <col min="4" max="4" width="32.1640625" bestFit="1" customWidth="1"/>
    <col min="5" max="5" width="23.33203125" customWidth="1"/>
    <col min="6" max="6" width="42.1640625" style="2" bestFit="1" customWidth="1"/>
    <col min="7" max="7" width="22.83203125" bestFit="1" customWidth="1"/>
  </cols>
  <sheetData>
    <row r="1" spans="1:8" ht="17" x14ac:dyDescent="0.2">
      <c r="A1" t="s">
        <v>29</v>
      </c>
      <c r="B1" t="s">
        <v>30</v>
      </c>
      <c r="C1" t="s">
        <v>32</v>
      </c>
      <c r="D1" t="s">
        <v>33</v>
      </c>
      <c r="E1" t="s">
        <v>37</v>
      </c>
      <c r="F1" s="2" t="s">
        <v>34</v>
      </c>
      <c r="G1" t="s">
        <v>35</v>
      </c>
      <c r="H1" t="s">
        <v>73</v>
      </c>
    </row>
    <row r="2" spans="1:8" x14ac:dyDescent="0.2">
      <c r="A2" t="s">
        <v>31</v>
      </c>
      <c r="B2" t="s">
        <v>0</v>
      </c>
      <c r="C2" s="1">
        <v>45971</v>
      </c>
      <c r="D2" t="s">
        <v>36</v>
      </c>
      <c r="G2">
        <v>0</v>
      </c>
      <c r="H2">
        <v>1</v>
      </c>
    </row>
    <row r="3" spans="1:8" x14ac:dyDescent="0.2">
      <c r="C3" s="1"/>
    </row>
    <row r="4" spans="1:8" ht="17" hidden="1" outlineLevel="1" x14ac:dyDescent="0.2">
      <c r="A4" t="s">
        <v>39</v>
      </c>
      <c r="B4" t="s">
        <v>1</v>
      </c>
      <c r="C4" s="1">
        <v>45971</v>
      </c>
      <c r="D4" t="s">
        <v>36</v>
      </c>
      <c r="E4" s="1">
        <v>45972</v>
      </c>
      <c r="F4" s="2" t="s">
        <v>52</v>
      </c>
      <c r="G4">
        <v>1</v>
      </c>
      <c r="H4">
        <v>1</v>
      </c>
    </row>
    <row r="5" spans="1:8" hidden="1" outlineLevel="1" x14ac:dyDescent="0.2">
      <c r="C5" s="1"/>
      <c r="E5">
        <v>11</v>
      </c>
    </row>
    <row r="6" spans="1:8" collapsed="1" x14ac:dyDescent="0.2">
      <c r="C6" s="1"/>
    </row>
    <row r="7" spans="1:8" x14ac:dyDescent="0.2">
      <c r="A7" t="s">
        <v>40</v>
      </c>
      <c r="B7" t="s">
        <v>2</v>
      </c>
      <c r="C7" s="1">
        <v>45971</v>
      </c>
      <c r="D7" t="s">
        <v>36</v>
      </c>
      <c r="G7">
        <v>0</v>
      </c>
      <c r="H7">
        <v>1</v>
      </c>
    </row>
    <row r="8" spans="1:8" x14ac:dyDescent="0.2">
      <c r="C8" s="1"/>
    </row>
    <row r="9" spans="1:8" x14ac:dyDescent="0.2">
      <c r="A9" t="s">
        <v>41</v>
      </c>
      <c r="B9" t="s">
        <v>3</v>
      </c>
      <c r="C9" s="1">
        <v>45971</v>
      </c>
      <c r="D9" t="s">
        <v>38</v>
      </c>
      <c r="G9">
        <v>0</v>
      </c>
      <c r="H9">
        <v>1</v>
      </c>
    </row>
    <row r="10" spans="1:8" x14ac:dyDescent="0.2">
      <c r="C10" s="1"/>
    </row>
    <row r="11" spans="1:8" x14ac:dyDescent="0.2">
      <c r="A11" t="s">
        <v>42</v>
      </c>
      <c r="B11" t="s">
        <v>4</v>
      </c>
      <c r="C11" s="1">
        <v>45971</v>
      </c>
      <c r="D11" t="s">
        <v>36</v>
      </c>
      <c r="G11">
        <v>0</v>
      </c>
      <c r="H11">
        <v>1</v>
      </c>
    </row>
    <row r="12" spans="1:8" x14ac:dyDescent="0.2">
      <c r="C12" s="1"/>
    </row>
    <row r="13" spans="1:8" x14ac:dyDescent="0.2">
      <c r="A13" t="s">
        <v>44</v>
      </c>
      <c r="B13" t="s">
        <v>5</v>
      </c>
      <c r="C13" s="1">
        <v>45971</v>
      </c>
      <c r="D13" t="s">
        <v>36</v>
      </c>
      <c r="G13">
        <v>0</v>
      </c>
      <c r="H13">
        <v>1</v>
      </c>
    </row>
    <row r="14" spans="1:8" x14ac:dyDescent="0.2">
      <c r="C14" s="1"/>
    </row>
    <row r="15" spans="1:8" x14ac:dyDescent="0.2">
      <c r="A15" t="s">
        <v>45</v>
      </c>
      <c r="B15" t="s">
        <v>6</v>
      </c>
      <c r="C15" s="1">
        <v>45971</v>
      </c>
      <c r="D15" t="s">
        <v>36</v>
      </c>
      <c r="G15">
        <v>0</v>
      </c>
      <c r="H15">
        <v>1</v>
      </c>
    </row>
    <row r="16" spans="1:8" x14ac:dyDescent="0.2">
      <c r="C16" s="1"/>
    </row>
    <row r="17" spans="1:8" x14ac:dyDescent="0.2">
      <c r="A17" t="s">
        <v>46</v>
      </c>
      <c r="B17" t="s">
        <v>7</v>
      </c>
      <c r="G17">
        <v>0</v>
      </c>
      <c r="H17">
        <v>1</v>
      </c>
    </row>
    <row r="19" spans="1:8" x14ac:dyDescent="0.2">
      <c r="A19" t="s">
        <v>62</v>
      </c>
      <c r="B19" t="s">
        <v>8</v>
      </c>
      <c r="C19" s="1">
        <v>45972</v>
      </c>
      <c r="D19" t="s">
        <v>36</v>
      </c>
      <c r="G19">
        <v>0</v>
      </c>
      <c r="H19">
        <v>1</v>
      </c>
    </row>
    <row r="20" spans="1:8" x14ac:dyDescent="0.2">
      <c r="C20" s="1"/>
    </row>
    <row r="21" spans="1:8" x14ac:dyDescent="0.2">
      <c r="A21" t="s">
        <v>63</v>
      </c>
      <c r="B21" t="s">
        <v>9</v>
      </c>
      <c r="C21" s="1">
        <v>45972</v>
      </c>
      <c r="D21" t="s">
        <v>36</v>
      </c>
      <c r="G21">
        <v>0</v>
      </c>
      <c r="H21">
        <v>1</v>
      </c>
    </row>
    <row r="22" spans="1:8" x14ac:dyDescent="0.2">
      <c r="C22" s="1"/>
    </row>
    <row r="23" spans="1:8" x14ac:dyDescent="0.2">
      <c r="A23" t="s">
        <v>64</v>
      </c>
      <c r="B23" t="s">
        <v>10</v>
      </c>
      <c r="C23" s="1">
        <v>45972</v>
      </c>
      <c r="D23" t="s">
        <v>36</v>
      </c>
      <c r="G23">
        <v>0</v>
      </c>
      <c r="H23">
        <v>1</v>
      </c>
    </row>
    <row r="24" spans="1:8" x14ac:dyDescent="0.2">
      <c r="C24" s="1"/>
    </row>
    <row r="25" spans="1:8" ht="17" hidden="1" outlineLevel="1" x14ac:dyDescent="0.2">
      <c r="A25" t="s">
        <v>53</v>
      </c>
      <c r="B25" t="s">
        <v>11</v>
      </c>
      <c r="C25" s="1">
        <v>45972</v>
      </c>
      <c r="D25" t="s">
        <v>36</v>
      </c>
      <c r="E25" s="1">
        <v>45972</v>
      </c>
      <c r="F25" s="2" t="s">
        <v>54</v>
      </c>
      <c r="G25">
        <v>1</v>
      </c>
      <c r="H25">
        <v>1</v>
      </c>
    </row>
    <row r="26" spans="1:8" hidden="1" outlineLevel="1" x14ac:dyDescent="0.2">
      <c r="C26" s="1">
        <v>45972</v>
      </c>
      <c r="D26" t="s">
        <v>55</v>
      </c>
    </row>
    <row r="27" spans="1:8" collapsed="1" x14ac:dyDescent="0.2">
      <c r="C27" s="1"/>
    </row>
    <row r="28" spans="1:8" x14ac:dyDescent="0.2">
      <c r="A28" t="s">
        <v>61</v>
      </c>
      <c r="B28" t="s">
        <v>12</v>
      </c>
      <c r="C28" s="1">
        <v>45972</v>
      </c>
      <c r="D28" t="s">
        <v>36</v>
      </c>
      <c r="G28">
        <v>0</v>
      </c>
      <c r="H28">
        <v>1</v>
      </c>
    </row>
    <row r="29" spans="1:8" x14ac:dyDescent="0.2">
      <c r="C29" s="1"/>
    </row>
    <row r="30" spans="1:8" ht="17" hidden="1" outlineLevel="1" x14ac:dyDescent="0.2">
      <c r="A30" t="s">
        <v>65</v>
      </c>
      <c r="B30" t="s">
        <v>13</v>
      </c>
      <c r="C30" s="1">
        <v>45972</v>
      </c>
      <c r="D30" t="s">
        <v>36</v>
      </c>
      <c r="E30" s="1">
        <v>45978</v>
      </c>
      <c r="F30" s="2" t="s">
        <v>79</v>
      </c>
      <c r="G30">
        <v>1</v>
      </c>
      <c r="H30">
        <v>1</v>
      </c>
    </row>
    <row r="31" spans="1:8" hidden="1" outlineLevel="1" x14ac:dyDescent="0.2">
      <c r="C31" s="1"/>
      <c r="E31">
        <v>1</v>
      </c>
    </row>
    <row r="32" spans="1:8" collapsed="1" x14ac:dyDescent="0.2">
      <c r="C32" s="1"/>
    </row>
    <row r="33" spans="1:8" x14ac:dyDescent="0.2">
      <c r="A33" t="s">
        <v>66</v>
      </c>
      <c r="B33" t="s">
        <v>14</v>
      </c>
      <c r="C33" s="1">
        <v>45972</v>
      </c>
      <c r="D33" t="s">
        <v>36</v>
      </c>
      <c r="G33">
        <v>0</v>
      </c>
      <c r="H33">
        <v>1</v>
      </c>
    </row>
    <row r="34" spans="1:8" x14ac:dyDescent="0.2">
      <c r="C34" s="1"/>
    </row>
    <row r="35" spans="1:8" ht="17" hidden="1" outlineLevel="1" x14ac:dyDescent="0.2">
      <c r="A35" t="s">
        <v>67</v>
      </c>
      <c r="B35" t="s">
        <v>15</v>
      </c>
      <c r="C35" s="1">
        <v>45972</v>
      </c>
      <c r="D35" t="s">
        <v>36</v>
      </c>
      <c r="E35" s="1">
        <v>45973</v>
      </c>
      <c r="F35" s="2" t="s">
        <v>75</v>
      </c>
      <c r="G35">
        <v>0</v>
      </c>
      <c r="H35">
        <v>1</v>
      </c>
    </row>
    <row r="36" spans="1:8" ht="17" hidden="1" outlineLevel="1" x14ac:dyDescent="0.2">
      <c r="C36" s="1"/>
      <c r="E36" s="1">
        <v>45975</v>
      </c>
      <c r="F36" s="2" t="s">
        <v>76</v>
      </c>
    </row>
    <row r="37" spans="1:8" collapsed="1" x14ac:dyDescent="0.2">
      <c r="C37" s="1"/>
    </row>
    <row r="38" spans="1:8" ht="17" hidden="1" outlineLevel="1" x14ac:dyDescent="0.2">
      <c r="A38" t="s">
        <v>56</v>
      </c>
      <c r="B38" t="s">
        <v>16</v>
      </c>
      <c r="C38" s="1">
        <v>45972</v>
      </c>
      <c r="D38" t="s">
        <v>36</v>
      </c>
      <c r="E38" s="1">
        <v>45972</v>
      </c>
      <c r="F38" s="2" t="s">
        <v>57</v>
      </c>
      <c r="G38">
        <v>1</v>
      </c>
      <c r="H38">
        <v>1</v>
      </c>
    </row>
    <row r="39" spans="1:8" hidden="1" outlineLevel="1" x14ac:dyDescent="0.2">
      <c r="C39" s="1"/>
      <c r="E39" s="1">
        <v>11</v>
      </c>
    </row>
    <row r="40" spans="1:8" collapsed="1" x14ac:dyDescent="0.2">
      <c r="C40" s="1"/>
      <c r="E40" s="1"/>
    </row>
    <row r="41" spans="1:8" ht="17" hidden="1" outlineLevel="1" x14ac:dyDescent="0.2">
      <c r="A41" t="s">
        <v>50</v>
      </c>
      <c r="B41" t="s">
        <v>17</v>
      </c>
      <c r="C41" s="1">
        <v>45972</v>
      </c>
      <c r="D41" t="s">
        <v>36</v>
      </c>
      <c r="E41" s="1">
        <v>45972</v>
      </c>
      <c r="F41" s="2" t="s">
        <v>51</v>
      </c>
      <c r="G41">
        <v>1</v>
      </c>
      <c r="H41">
        <v>1</v>
      </c>
    </row>
    <row r="42" spans="1:8" hidden="1" outlineLevel="1" x14ac:dyDescent="0.2">
      <c r="C42" s="1"/>
      <c r="E42">
        <v>11</v>
      </c>
    </row>
    <row r="43" spans="1:8" collapsed="1" x14ac:dyDescent="0.2">
      <c r="C43" s="1"/>
    </row>
    <row r="44" spans="1:8" x14ac:dyDescent="0.2">
      <c r="A44" t="s">
        <v>68</v>
      </c>
      <c r="B44" t="s">
        <v>18</v>
      </c>
      <c r="C44" s="1">
        <v>45972</v>
      </c>
      <c r="D44" t="s">
        <v>36</v>
      </c>
      <c r="G44">
        <v>0</v>
      </c>
      <c r="H44">
        <v>1</v>
      </c>
    </row>
    <row r="45" spans="1:8" x14ac:dyDescent="0.2">
      <c r="C45" s="1"/>
    </row>
    <row r="46" spans="1:8" x14ac:dyDescent="0.2">
      <c r="A46" t="s">
        <v>43</v>
      </c>
      <c r="B46" t="s">
        <v>19</v>
      </c>
      <c r="C46" s="1">
        <v>45971</v>
      </c>
      <c r="D46" t="s">
        <v>36</v>
      </c>
      <c r="G46">
        <v>0</v>
      </c>
      <c r="H46">
        <v>1</v>
      </c>
    </row>
    <row r="47" spans="1:8" x14ac:dyDescent="0.2">
      <c r="C47" s="1"/>
    </row>
    <row r="48" spans="1:8" ht="17" hidden="1" outlineLevel="1" x14ac:dyDescent="0.2">
      <c r="A48" t="s">
        <v>60</v>
      </c>
      <c r="B48" t="s">
        <v>20</v>
      </c>
      <c r="C48" s="1">
        <v>45972</v>
      </c>
      <c r="D48" t="s">
        <v>36</v>
      </c>
      <c r="E48" s="1">
        <v>45972</v>
      </c>
      <c r="F48" s="2" t="s">
        <v>59</v>
      </c>
      <c r="G48">
        <v>1</v>
      </c>
      <c r="H48">
        <v>1</v>
      </c>
    </row>
    <row r="49" spans="1:8" ht="17" hidden="1" outlineLevel="1" x14ac:dyDescent="0.2">
      <c r="C49" s="1"/>
      <c r="E49" s="1">
        <v>45975</v>
      </c>
      <c r="F49" s="2" t="s">
        <v>77</v>
      </c>
    </row>
    <row r="50" spans="1:8" ht="17" hidden="1" outlineLevel="1" x14ac:dyDescent="0.2">
      <c r="C50" s="1"/>
      <c r="E50" s="1">
        <v>45978</v>
      </c>
      <c r="F50" s="2" t="s">
        <v>78</v>
      </c>
    </row>
    <row r="51" spans="1:8" collapsed="1" x14ac:dyDescent="0.2">
      <c r="C51" s="1"/>
    </row>
    <row r="52" spans="1:8" ht="17" hidden="1" outlineLevel="1" x14ac:dyDescent="0.2">
      <c r="A52" t="s">
        <v>69</v>
      </c>
      <c r="B52" t="s">
        <v>21</v>
      </c>
      <c r="C52" s="1">
        <v>45972</v>
      </c>
      <c r="D52" t="s">
        <v>36</v>
      </c>
      <c r="E52" s="1">
        <v>45980</v>
      </c>
      <c r="F52" s="2" t="s">
        <v>84</v>
      </c>
      <c r="G52">
        <v>1</v>
      </c>
      <c r="H52">
        <v>1</v>
      </c>
    </row>
    <row r="53" spans="1:8" hidden="1" outlineLevel="1" x14ac:dyDescent="0.2">
      <c r="C53" s="1"/>
      <c r="E53">
        <v>11</v>
      </c>
    </row>
    <row r="54" spans="1:8" collapsed="1" x14ac:dyDescent="0.2">
      <c r="C54" s="1"/>
    </row>
    <row r="55" spans="1:8" ht="34" hidden="1" outlineLevel="1" x14ac:dyDescent="0.2">
      <c r="A55" s="3" t="s">
        <v>70</v>
      </c>
      <c r="B55" s="3" t="s">
        <v>22</v>
      </c>
      <c r="C55" s="4">
        <v>45972</v>
      </c>
      <c r="D55" s="3" t="s">
        <v>36</v>
      </c>
      <c r="E55" s="4">
        <v>45972</v>
      </c>
      <c r="F55" s="2" t="s">
        <v>58</v>
      </c>
      <c r="G55" s="3">
        <v>1</v>
      </c>
      <c r="H55" s="3">
        <v>1</v>
      </c>
    </row>
    <row r="56" spans="1:8" hidden="1" outlineLevel="1" x14ac:dyDescent="0.2">
      <c r="A56" s="3"/>
      <c r="B56" s="3"/>
      <c r="C56" s="4"/>
      <c r="D56" s="3"/>
      <c r="E56" s="4">
        <v>11</v>
      </c>
      <c r="G56" s="3"/>
    </row>
    <row r="57" spans="1:8" collapsed="1" x14ac:dyDescent="0.2">
      <c r="A57" s="3"/>
      <c r="B57" s="3"/>
      <c r="C57" s="4"/>
      <c r="D57" s="3"/>
      <c r="E57" s="4"/>
      <c r="G57" s="3"/>
    </row>
    <row r="58" spans="1:8" x14ac:dyDescent="0.2">
      <c r="A58" t="s">
        <v>71</v>
      </c>
      <c r="B58" t="s">
        <v>23</v>
      </c>
      <c r="C58" s="1">
        <v>45972</v>
      </c>
      <c r="D58" t="s">
        <v>36</v>
      </c>
      <c r="G58">
        <v>0</v>
      </c>
      <c r="H58">
        <v>1</v>
      </c>
    </row>
    <row r="59" spans="1:8" x14ac:dyDescent="0.2">
      <c r="C59" s="1"/>
    </row>
    <row r="60" spans="1:8" ht="17" hidden="1" outlineLevel="1" x14ac:dyDescent="0.2">
      <c r="A60" t="s">
        <v>49</v>
      </c>
      <c r="B60" t="s">
        <v>24</v>
      </c>
      <c r="C60" s="1">
        <v>45972</v>
      </c>
      <c r="D60" t="s">
        <v>36</v>
      </c>
      <c r="E60" s="1">
        <v>45972</v>
      </c>
      <c r="F60" s="2" t="s">
        <v>48</v>
      </c>
      <c r="G60">
        <v>0</v>
      </c>
      <c r="H60">
        <v>1</v>
      </c>
    </row>
    <row r="61" spans="1:8" hidden="1" outlineLevel="1" x14ac:dyDescent="0.2">
      <c r="C61" s="1"/>
      <c r="E61" s="1">
        <v>11</v>
      </c>
    </row>
    <row r="62" spans="1:8" collapsed="1" x14ac:dyDescent="0.2">
      <c r="C62" s="1"/>
      <c r="G62">
        <v>0</v>
      </c>
      <c r="H62">
        <v>1</v>
      </c>
    </row>
    <row r="63" spans="1:8" x14ac:dyDescent="0.2">
      <c r="C63" s="1"/>
    </row>
    <row r="64" spans="1:8" ht="17" hidden="1" outlineLevel="1" x14ac:dyDescent="0.2">
      <c r="A64" t="s">
        <v>72</v>
      </c>
      <c r="B64" t="s">
        <v>25</v>
      </c>
      <c r="C64" s="1">
        <v>45972</v>
      </c>
      <c r="D64" t="s">
        <v>36</v>
      </c>
      <c r="E64" s="1">
        <v>45973</v>
      </c>
      <c r="F64" s="2" t="s">
        <v>74</v>
      </c>
      <c r="G64">
        <v>1</v>
      </c>
      <c r="H64">
        <v>1</v>
      </c>
    </row>
    <row r="65" spans="2:5" hidden="1" outlineLevel="1" x14ac:dyDescent="0.2">
      <c r="C65" s="1"/>
      <c r="E65">
        <v>12</v>
      </c>
    </row>
    <row r="66" spans="2:5" collapsed="1" x14ac:dyDescent="0.2">
      <c r="C66" s="1"/>
    </row>
    <row r="67" spans="2:5" x14ac:dyDescent="0.2">
      <c r="C67" s="1"/>
    </row>
    <row r="68" spans="2:5" x14ac:dyDescent="0.2">
      <c r="C68" s="1"/>
    </row>
    <row r="69" spans="2:5" x14ac:dyDescent="0.2">
      <c r="C69" s="1"/>
    </row>
    <row r="70" spans="2:5" x14ac:dyDescent="0.2">
      <c r="B70" t="s">
        <v>26</v>
      </c>
    </row>
    <row r="77" spans="2:5" x14ac:dyDescent="0.2">
      <c r="B77" t="s">
        <v>27</v>
      </c>
    </row>
    <row r="78" spans="2:5" x14ac:dyDescent="0.2">
      <c r="C78" s="1">
        <v>45979</v>
      </c>
      <c r="D78" t="s">
        <v>80</v>
      </c>
      <c r="E78" t="s">
        <v>81</v>
      </c>
    </row>
    <row r="79" spans="2:5" x14ac:dyDescent="0.2">
      <c r="C79" s="1">
        <v>45979</v>
      </c>
      <c r="D79" t="s">
        <v>82</v>
      </c>
    </row>
    <row r="80" spans="2:5" x14ac:dyDescent="0.2">
      <c r="C80" s="1">
        <v>45979</v>
      </c>
      <c r="D80" t="s">
        <v>83</v>
      </c>
    </row>
    <row r="84" spans="2:9" x14ac:dyDescent="0.2">
      <c r="B84" t="s">
        <v>28</v>
      </c>
    </row>
    <row r="86" spans="2:9" x14ac:dyDescent="0.2">
      <c r="B86" t="s">
        <v>47</v>
      </c>
      <c r="G86">
        <f>SUM(Table1[Member list complete?])</f>
        <v>9</v>
      </c>
      <c r="H86">
        <f>SUM(Table1[Cntr])</f>
        <v>27</v>
      </c>
      <c r="I86" s="5">
        <f>G86/H86</f>
        <v>0.33333333333333331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Long, Kenneth (STFC,RAL,PPD)</dc:creator>
  <cp:lastModifiedBy>Kenneth Long</cp:lastModifiedBy>
  <dcterms:created xsi:type="dcterms:W3CDTF">2025-11-10T15:45:03Z</dcterms:created>
  <dcterms:modified xsi:type="dcterms:W3CDTF">2025-11-20T10:10:43Z</dcterms:modified>
</cp:coreProperties>
</file>