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.long/Library/CloudStorage/Box-Box/CubMac-Box/KL-GIT/CCAP/02-LhARA/00-Collaboration-lists/11-CollaborationList/2025-11-Refresh/"/>
    </mc:Choice>
  </mc:AlternateContent>
  <xr:revisionPtr revIDLastSave="0" documentId="13_ncr:1_{3BC77CAB-6BAE-144D-A05E-4CA93D0FF16A}" xr6:coauthVersionLast="47" xr6:coauthVersionMax="47" xr10:uidLastSave="{00000000-0000-0000-0000-000000000000}"/>
  <bookViews>
    <workbookView xWindow="2600" yWindow="2960" windowWidth="27640" windowHeight="16680" xr2:uid="{9AD4C775-BB02-1F4A-9451-959360E31C15}"/>
  </bookViews>
  <sheets>
    <sheet name="lis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J32" i="1" s="1"/>
  <c r="H32" i="1"/>
</calcChain>
</file>

<file path=xl/sharedStrings.xml><?xml version="1.0" encoding="utf-8"?>
<sst xmlns="http://schemas.openxmlformats.org/spreadsheetml/2006/main" count="74" uniqueCount="51">
  <si>
    <t>ASU.xlsx</t>
  </si>
  <si>
    <t>Belfast.xlsx</t>
  </si>
  <si>
    <t>Birmingham.xlsx</t>
  </si>
  <si>
    <t>CERN.xlsx</t>
  </si>
  <si>
    <t>CNRS-Institut-Curie.xlsx</t>
  </si>
  <si>
    <t>Corerain.xlsx</t>
  </si>
  <si>
    <t>DOE-LBNL.xlsx</t>
  </si>
  <si>
    <t>Imperial.xlsx</t>
  </si>
  <si>
    <t>INFN-CT.xlsx</t>
  </si>
  <si>
    <t>InstituteCancerResearch.xlsx</t>
  </si>
  <si>
    <t>Lancaster.xlsx</t>
  </si>
  <si>
    <t>LeoCancerCare.xlsx</t>
  </si>
  <si>
    <t>Liverpool.xlsx</t>
  </si>
  <si>
    <t>Manchester.xlsx</t>
  </si>
  <si>
    <t>Maxeler.xlsx</t>
  </si>
  <si>
    <t>Oxford.xlsx</t>
  </si>
  <si>
    <t>QueenMary.xlsx</t>
  </si>
  <si>
    <t>RHUL.xlsx</t>
  </si>
  <si>
    <t>RosalindFranklinInstitut.xlsx</t>
  </si>
  <si>
    <t>SantiagoDeCompstella.xlsx</t>
  </si>
  <si>
    <t>STFC.xlsx</t>
  </si>
  <si>
    <t>Strathclyde.xlsx</t>
  </si>
  <si>
    <t>Surrey.xlsx</t>
  </si>
  <si>
    <t>Swansea.xlsx</t>
  </si>
  <si>
    <t>UCL.xlsx</t>
  </si>
  <si>
    <t>UCSF.xlsx</t>
  </si>
  <si>
    <t>ZZ0-removeFROMjiscmail.xlsx</t>
  </si>
  <si>
    <t>ZZ1-askIFwantTOjoin.xlsx</t>
  </si>
  <si>
    <t>ZZ2-consider.xlsx</t>
  </si>
  <si>
    <t>Institute</t>
  </si>
  <si>
    <t>Spreadsheet</t>
  </si>
  <si>
    <t>Arizona State University</t>
  </si>
  <si>
    <t>Email date</t>
  </si>
  <si>
    <t>Email content</t>
  </si>
  <si>
    <t>Email response</t>
  </si>
  <si>
    <t>Member list complete?</t>
  </si>
  <si>
    <t>No</t>
  </si>
  <si>
    <t>Request refresh (Initial list)</t>
  </si>
  <si>
    <t>Email response date</t>
  </si>
  <si>
    <t>Request: at present no CERN members!</t>
  </si>
  <si>
    <t>Queens University</t>
  </si>
  <si>
    <t>Birmingham University</t>
  </si>
  <si>
    <t>CERN</t>
  </si>
  <si>
    <t>Institüt Curie</t>
  </si>
  <si>
    <t>Universidad de Santiago de Compostella</t>
  </si>
  <si>
    <t>Corerain</t>
  </si>
  <si>
    <t>LBNL</t>
  </si>
  <si>
    <t>Imperial</t>
  </si>
  <si>
    <t>Consider Ugo Amaldi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</si>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</sst>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76B90B-1F1C-C048-9567-529E0CFCD19F}" name="Table1" displayName="Table1" ref="A1:I30" totalsRowShown="0">
  <autoFilter ref="A1:I30" xr:uid="{7E76B90B-1F1C-C048-9567-529E0CFCD19F}"/>
  <tableColumns count="9">
    <tableColumn id="1" xr3:uid="{1B122CB6-63D6-7345-875C-B51685430DD3}" name="Institute"/>
    <tableColumn id="2" xr3:uid="{848FCA04-184B-824E-859C-4BA3DD5B6678}" name="Spreadsheet"/>
    <tableColumn id="3" xr3:uid="{9B97A4D0-C66E-1944-A356-B710779FDE07}" name="Email date"/>
    <tableColumn id="4" xr3:uid="{4BC43FFD-8C28-1846-A8BD-D92168960FB4}" name="Email content"/>
    <tableColumn id="7" xr3:uid="{E3F66F95-C937-7346-8BB3-959B3DCA4CB1}" name="Email response date"/>
    <tableColumn id="5" xr3:uid="{1531ACC4-849A-D648-B9BB-7E99202F2491}" name="Email response"/>
    <tableColumn id="6" xr3:uid="{6CE33197-89AE-8F45-9338-455B2BD8A0F9}" name="Member list complete?"/>
    <tableColumn id="8" xr3:uid="{F603FF8C-18CA-3A44-B1A9-1494D58FF849}" name="Column1"/>
    <tableColumn id="9" xr3:uid="{92E74106-68AC-4346-A65A-BAC1A324BE6A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84185-4893-984F-81CD-365C50C740D1}">
  <dimension ref="A1:J32"/>
  <sheetViews>
    <sheetView tabSelected="1" workbookViewId="0">
      <selection activeCell="C28" sqref="C28"/>
    </sheetView>
  </sheetViews>
  <sheetFormatPr baseColWidth="10" defaultRowHeight="16" x14ac:dyDescent="0.2"/>
  <cols>
    <col min="1" max="1" width="34" bestFit="1" customWidth="1"/>
    <col min="2" max="2" width="26" bestFit="1" customWidth="1"/>
    <col min="3" max="3" width="14" bestFit="1" customWidth="1"/>
    <col min="4" max="4" width="32.1640625" bestFit="1" customWidth="1"/>
    <col min="5" max="5" width="23.33203125" customWidth="1"/>
    <col min="6" max="6" width="16.33203125" bestFit="1" customWidth="1"/>
  </cols>
  <sheetData>
    <row r="1" spans="1:9" x14ac:dyDescent="0.2">
      <c r="A1" t="s">
        <v>29</v>
      </c>
      <c r="B1" t="s">
        <v>30</v>
      </c>
      <c r="C1" t="s">
        <v>32</v>
      </c>
      <c r="D1" t="s">
        <v>33</v>
      </c>
      <c r="E1" t="s">
        <v>38</v>
      </c>
      <c r="F1" t="s">
        <v>34</v>
      </c>
      <c r="G1" t="s">
        <v>35</v>
      </c>
      <c r="H1" t="s">
        <v>49</v>
      </c>
      <c r="I1" t="s">
        <v>50</v>
      </c>
    </row>
    <row r="2" spans="1:9" x14ac:dyDescent="0.2">
      <c r="A2" t="s">
        <v>31</v>
      </c>
      <c r="B2" t="s">
        <v>0</v>
      </c>
      <c r="C2" s="1">
        <v>45971</v>
      </c>
      <c r="D2" t="s">
        <v>37</v>
      </c>
      <c r="G2" t="s">
        <v>36</v>
      </c>
      <c r="H2">
        <v>1</v>
      </c>
      <c r="I2">
        <v>1</v>
      </c>
    </row>
    <row r="3" spans="1:9" x14ac:dyDescent="0.2">
      <c r="A3" t="s">
        <v>40</v>
      </c>
      <c r="B3" t="s">
        <v>1</v>
      </c>
      <c r="C3" s="1">
        <v>45971</v>
      </c>
      <c r="D3" t="s">
        <v>37</v>
      </c>
      <c r="H3">
        <v>1</v>
      </c>
      <c r="I3">
        <v>1</v>
      </c>
    </row>
    <row r="4" spans="1:9" x14ac:dyDescent="0.2">
      <c r="A4" t="s">
        <v>41</v>
      </c>
      <c r="B4" t="s">
        <v>2</v>
      </c>
      <c r="C4" s="1">
        <v>45971</v>
      </c>
      <c r="D4" t="s">
        <v>37</v>
      </c>
      <c r="H4">
        <v>1</v>
      </c>
      <c r="I4">
        <v>1</v>
      </c>
    </row>
    <row r="5" spans="1:9" x14ac:dyDescent="0.2">
      <c r="A5" t="s">
        <v>42</v>
      </c>
      <c r="B5" t="s">
        <v>3</v>
      </c>
      <c r="C5" s="1">
        <v>45971</v>
      </c>
      <c r="D5" t="s">
        <v>39</v>
      </c>
      <c r="H5">
        <v>1</v>
      </c>
      <c r="I5">
        <v>1</v>
      </c>
    </row>
    <row r="6" spans="1:9" x14ac:dyDescent="0.2">
      <c r="A6" t="s">
        <v>43</v>
      </c>
      <c r="B6" t="s">
        <v>4</v>
      </c>
      <c r="C6" s="1">
        <v>45971</v>
      </c>
      <c r="D6" t="s">
        <v>37</v>
      </c>
      <c r="H6">
        <v>1</v>
      </c>
      <c r="I6">
        <v>1</v>
      </c>
    </row>
    <row r="7" spans="1:9" x14ac:dyDescent="0.2">
      <c r="A7" t="s">
        <v>45</v>
      </c>
      <c r="B7" t="s">
        <v>5</v>
      </c>
      <c r="C7" s="1">
        <v>45971</v>
      </c>
      <c r="D7" t="s">
        <v>37</v>
      </c>
      <c r="H7">
        <v>1</v>
      </c>
      <c r="I7">
        <v>1</v>
      </c>
    </row>
    <row r="8" spans="1:9" x14ac:dyDescent="0.2">
      <c r="A8" t="s">
        <v>46</v>
      </c>
      <c r="B8" t="s">
        <v>6</v>
      </c>
      <c r="C8" s="1">
        <v>45971</v>
      </c>
      <c r="D8" t="s">
        <v>37</v>
      </c>
      <c r="H8">
        <v>1</v>
      </c>
      <c r="I8">
        <v>1</v>
      </c>
    </row>
    <row r="9" spans="1:9" x14ac:dyDescent="0.2">
      <c r="A9" t="s">
        <v>47</v>
      </c>
      <c r="B9" t="s">
        <v>7</v>
      </c>
      <c r="H9">
        <v>1</v>
      </c>
    </row>
    <row r="10" spans="1:9" x14ac:dyDescent="0.2">
      <c r="B10" t="s">
        <v>8</v>
      </c>
      <c r="C10" s="1">
        <v>45972</v>
      </c>
      <c r="D10" t="s">
        <v>37</v>
      </c>
      <c r="H10">
        <v>1</v>
      </c>
      <c r="I10">
        <v>1</v>
      </c>
    </row>
    <row r="11" spans="1:9" x14ac:dyDescent="0.2">
      <c r="B11" t="s">
        <v>9</v>
      </c>
      <c r="C11" s="1">
        <v>45972</v>
      </c>
      <c r="D11" t="s">
        <v>37</v>
      </c>
      <c r="H11">
        <v>1</v>
      </c>
      <c r="I11">
        <v>1</v>
      </c>
    </row>
    <row r="12" spans="1:9" x14ac:dyDescent="0.2">
      <c r="B12" t="s">
        <v>10</v>
      </c>
      <c r="C12" s="1">
        <v>45972</v>
      </c>
      <c r="D12" t="s">
        <v>37</v>
      </c>
      <c r="H12">
        <v>1</v>
      </c>
      <c r="I12">
        <v>1</v>
      </c>
    </row>
    <row r="13" spans="1:9" x14ac:dyDescent="0.2">
      <c r="B13" t="s">
        <v>11</v>
      </c>
      <c r="C13" s="1">
        <v>45972</v>
      </c>
      <c r="D13" t="s">
        <v>37</v>
      </c>
      <c r="H13">
        <v>1</v>
      </c>
      <c r="I13">
        <v>1</v>
      </c>
    </row>
    <row r="14" spans="1:9" x14ac:dyDescent="0.2">
      <c r="B14" t="s">
        <v>12</v>
      </c>
      <c r="C14" s="1">
        <v>45972</v>
      </c>
      <c r="D14" t="s">
        <v>37</v>
      </c>
      <c r="H14">
        <v>1</v>
      </c>
      <c r="I14">
        <v>1</v>
      </c>
    </row>
    <row r="15" spans="1:9" x14ac:dyDescent="0.2">
      <c r="B15" t="s">
        <v>13</v>
      </c>
      <c r="C15" s="1">
        <v>45972</v>
      </c>
      <c r="D15" t="s">
        <v>37</v>
      </c>
      <c r="H15">
        <v>1</v>
      </c>
      <c r="I15">
        <v>1</v>
      </c>
    </row>
    <row r="16" spans="1:9" x14ac:dyDescent="0.2">
      <c r="B16" t="s">
        <v>14</v>
      </c>
      <c r="C16" s="1">
        <v>45972</v>
      </c>
      <c r="D16" t="s">
        <v>37</v>
      </c>
      <c r="H16">
        <v>1</v>
      </c>
      <c r="I16">
        <v>1</v>
      </c>
    </row>
    <row r="17" spans="1:10" x14ac:dyDescent="0.2">
      <c r="B17" t="s">
        <v>15</v>
      </c>
      <c r="C17" s="1">
        <v>45972</v>
      </c>
      <c r="D17" t="s">
        <v>37</v>
      </c>
      <c r="H17">
        <v>1</v>
      </c>
      <c r="I17">
        <v>1</v>
      </c>
    </row>
    <row r="18" spans="1:10" x14ac:dyDescent="0.2">
      <c r="B18" t="s">
        <v>16</v>
      </c>
      <c r="C18" s="1">
        <v>45972</v>
      </c>
      <c r="D18" t="s">
        <v>37</v>
      </c>
      <c r="H18">
        <v>1</v>
      </c>
      <c r="I18">
        <v>1</v>
      </c>
    </row>
    <row r="19" spans="1:10" x14ac:dyDescent="0.2">
      <c r="B19" t="s">
        <v>17</v>
      </c>
      <c r="C19" s="1">
        <v>45972</v>
      </c>
      <c r="D19" t="s">
        <v>37</v>
      </c>
      <c r="H19">
        <v>1</v>
      </c>
      <c r="I19">
        <v>1</v>
      </c>
    </row>
    <row r="20" spans="1:10" x14ac:dyDescent="0.2">
      <c r="B20" t="s">
        <v>18</v>
      </c>
      <c r="C20" s="1">
        <v>45972</v>
      </c>
      <c r="D20" t="s">
        <v>37</v>
      </c>
      <c r="H20">
        <v>1</v>
      </c>
      <c r="I20">
        <v>1</v>
      </c>
    </row>
    <row r="21" spans="1:10" x14ac:dyDescent="0.2">
      <c r="A21" t="s">
        <v>44</v>
      </c>
      <c r="B21" t="s">
        <v>19</v>
      </c>
      <c r="C21" s="1">
        <v>45971</v>
      </c>
      <c r="D21" t="s">
        <v>37</v>
      </c>
      <c r="H21">
        <v>1</v>
      </c>
      <c r="I21">
        <v>1</v>
      </c>
    </row>
    <row r="22" spans="1:10" x14ac:dyDescent="0.2">
      <c r="B22" t="s">
        <v>20</v>
      </c>
      <c r="C22" s="1">
        <v>45972</v>
      </c>
      <c r="D22" t="s">
        <v>37</v>
      </c>
      <c r="H22">
        <v>1</v>
      </c>
      <c r="I22">
        <v>1</v>
      </c>
    </row>
    <row r="23" spans="1:10" x14ac:dyDescent="0.2">
      <c r="B23" t="s">
        <v>21</v>
      </c>
      <c r="C23" s="1">
        <v>45972</v>
      </c>
      <c r="D23" t="s">
        <v>37</v>
      </c>
      <c r="H23">
        <v>1</v>
      </c>
      <c r="I23">
        <v>1</v>
      </c>
    </row>
    <row r="24" spans="1:10" x14ac:dyDescent="0.2">
      <c r="B24" t="s">
        <v>22</v>
      </c>
      <c r="C24" s="1">
        <v>45972</v>
      </c>
      <c r="D24" t="s">
        <v>37</v>
      </c>
      <c r="H24">
        <v>1</v>
      </c>
      <c r="I24">
        <v>1</v>
      </c>
    </row>
    <row r="25" spans="1:10" x14ac:dyDescent="0.2">
      <c r="B25" t="s">
        <v>23</v>
      </c>
      <c r="C25" s="1">
        <v>45972</v>
      </c>
      <c r="D25" t="s">
        <v>37</v>
      </c>
      <c r="H25">
        <v>1</v>
      </c>
      <c r="I25">
        <v>1</v>
      </c>
    </row>
    <row r="26" spans="1:10" x14ac:dyDescent="0.2">
      <c r="B26" t="s">
        <v>24</v>
      </c>
      <c r="C26" s="1">
        <v>45972</v>
      </c>
      <c r="D26" t="s">
        <v>37</v>
      </c>
      <c r="H26">
        <v>1</v>
      </c>
      <c r="I26">
        <v>1</v>
      </c>
    </row>
    <row r="27" spans="1:10" x14ac:dyDescent="0.2">
      <c r="B27" t="s">
        <v>25</v>
      </c>
      <c r="C27" s="1">
        <v>45972</v>
      </c>
      <c r="D27" t="s">
        <v>37</v>
      </c>
      <c r="H27">
        <v>1</v>
      </c>
      <c r="I27">
        <v>1</v>
      </c>
    </row>
    <row r="28" spans="1:10" x14ac:dyDescent="0.2">
      <c r="B28" t="s">
        <v>26</v>
      </c>
      <c r="H28">
        <v>1</v>
      </c>
      <c r="I28">
        <v>1</v>
      </c>
    </row>
    <row r="29" spans="1:10" x14ac:dyDescent="0.2">
      <c r="B29" t="s">
        <v>27</v>
      </c>
      <c r="H29">
        <v>1</v>
      </c>
      <c r="I29">
        <v>1</v>
      </c>
    </row>
    <row r="30" spans="1:10" x14ac:dyDescent="0.2">
      <c r="B30" t="s">
        <v>28</v>
      </c>
      <c r="H30">
        <v>1</v>
      </c>
      <c r="I30">
        <v>1</v>
      </c>
    </row>
    <row r="32" spans="1:10" x14ac:dyDescent="0.2">
      <c r="B32" t="s">
        <v>48</v>
      </c>
      <c r="H32">
        <f>SUM(Table1[Column1])</f>
        <v>29</v>
      </c>
      <c r="I32">
        <f>SUM(Table1[Column2])</f>
        <v>28</v>
      </c>
      <c r="J32" s="2">
        <f>I32/H32</f>
        <v>0.96551724137931039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Kenneth (STFC,RAL,PPD)</dc:creator>
  <cp:lastModifiedBy>Long, Kenneth (STFC,RAL,PPD)</cp:lastModifiedBy>
  <dcterms:created xsi:type="dcterms:W3CDTF">2025-11-10T15:45:03Z</dcterms:created>
  <dcterms:modified xsi:type="dcterms:W3CDTF">2025-11-11T06:42:36Z</dcterms:modified>
</cp:coreProperties>
</file>